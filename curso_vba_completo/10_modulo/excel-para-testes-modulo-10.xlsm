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10_modulo\"/>
    </mc:Choice>
  </mc:AlternateContent>
  <xr:revisionPtr revIDLastSave="0" documentId="13_ncr:1_{857EE353-54E7-496E-B960-DF583B7B8DE2}" xr6:coauthVersionLast="47" xr6:coauthVersionMax="47" xr10:uidLastSave="{00000000-0000-0000-0000-000000000000}"/>
  <bookViews>
    <workbookView xWindow="28680" yWindow="-15" windowWidth="29040" windowHeight="15840" xr2:uid="{98FB98BB-A610-48C7-900C-895F3810D91A}"/>
  </bookViews>
  <sheets>
    <sheet name="Planilha1" sheetId="1" r:id="rId1"/>
    <sheet name="Planilha2" sheetId="2" r:id="rId2"/>
    <sheet name="copa_do_mundo" sheetId="3" r:id="rId3"/>
  </sheets>
  <functionGroups builtInGroupCount="19"/>
  <definedNames>
    <definedName name="jogos">copa_do_mundo!$B$7:$G$55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C4" i="2"/>
  <c r="A4" i="2"/>
  <c r="D3" i="2"/>
  <c r="C3" i="2"/>
  <c r="F9" i="1"/>
  <c r="B23" i="1" a="1"/>
  <c r="G34" i="2" a="1"/>
  <c r="G30" i="2" a="1"/>
  <c r="K26" i="2" a="1"/>
  <c r="G26" i="2" a="1"/>
  <c r="A30" i="2" a="1"/>
  <c r="A20" i="2" a="1"/>
  <c r="A17" i="2" a="1"/>
  <c r="J15" i="3" a="1"/>
  <c r="K17" i="3" a="1"/>
  <c r="K18" i="3" a="1"/>
  <c r="L8" i="3" a="1"/>
  <c r="E3" i="2" a="1"/>
  <c r="F12" i="1" a="1"/>
  <c r="A1" i="1" a="1"/>
  <c r="F17" i="1" a="1"/>
  <c r="G14" i="1" a="1"/>
  <c r="F5" i="1" a="1"/>
  <c r="B23" i="1" l="1"/>
  <c r="G34" i="2"/>
  <c r="G30" i="2"/>
  <c r="K26" i="2"/>
  <c r="L26" i="2"/>
  <c r="K27" i="2"/>
  <c r="L27" i="2"/>
  <c r="G26" i="2"/>
  <c r="A30" i="2"/>
  <c r="A20" i="2"/>
  <c r="A17" i="2"/>
  <c r="J15" i="3"/>
  <c r="K17" i="3"/>
  <c r="K18" i="3"/>
  <c r="L8" i="3"/>
  <c r="E3" i="2"/>
  <c r="F17" i="1"/>
  <c r="F12" i="1"/>
  <c r="G14" i="1"/>
  <c r="F5" i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<sst xmlns="http://schemas.openxmlformats.org/spreadsheetml/2006/main" count="323" uniqueCount="86">
  <si>
    <t>a</t>
  </si>
  <si>
    <t>b</t>
  </si>
  <si>
    <t>c</t>
  </si>
  <si>
    <t>d</t>
  </si>
  <si>
    <t>COPA DO MUNDO RÚSSIA 2018</t>
  </si>
  <si>
    <t>TIME 1</t>
  </si>
  <si>
    <t>TIME 2</t>
  </si>
  <si>
    <t>DATA</t>
  </si>
  <si>
    <t>DIA SEMANA</t>
  </si>
  <si>
    <t>HORA</t>
  </si>
  <si>
    <t>LOCAL</t>
  </si>
  <si>
    <t>RÚSSIA</t>
  </si>
  <si>
    <t>ARÁBIA SAUDITA</t>
  </si>
  <si>
    <t>14/06/2018</t>
  </si>
  <si>
    <t>QUI</t>
  </si>
  <si>
    <t>12:00</t>
  </si>
  <si>
    <t>OLÍMPICO LUJNIKI</t>
  </si>
  <si>
    <t>URUGUAI</t>
  </si>
  <si>
    <t>QUA</t>
  </si>
  <si>
    <t>EGITO</t>
  </si>
  <si>
    <t>15/06/2018</t>
  </si>
  <si>
    <t>SEX</t>
  </si>
  <si>
    <t>09:00</t>
  </si>
  <si>
    <t>ECATERIMBURGO</t>
  </si>
  <si>
    <t>20/06/2018</t>
  </si>
  <si>
    <t>ROSTOV</t>
  </si>
  <si>
    <t>19/06/2018</t>
  </si>
  <si>
    <t>TER</t>
  </si>
  <si>
    <t>15:00</t>
  </si>
  <si>
    <t>SÃO PETESBURGO</t>
  </si>
  <si>
    <t>25/06/2018</t>
  </si>
  <si>
    <t>SEG</t>
  </si>
  <si>
    <t>11:00</t>
  </si>
  <si>
    <t>VOLGOGRADO</t>
  </si>
  <si>
    <t>DESAFIO</t>
  </si>
  <si>
    <t>SAMARA</t>
  </si>
  <si>
    <t>PORTUGAL</t>
  </si>
  <si>
    <t>ESPANHA</t>
  </si>
  <si>
    <t>OLÍMPICO DE SOCHI</t>
  </si>
  <si>
    <t>MARROCOS</t>
  </si>
  <si>
    <t>IRÃ</t>
  </si>
  <si>
    <t>ARENA KAZAN</t>
  </si>
  <si>
    <t>KALININGRADO</t>
  </si>
  <si>
    <t>SARANSK</t>
  </si>
  <si>
    <t>FRANÇA</t>
  </si>
  <si>
    <t>AUSTRÁLIA</t>
  </si>
  <si>
    <t>16/06/2018</t>
  </si>
  <si>
    <t>SAB</t>
  </si>
  <si>
    <t>07:00</t>
  </si>
  <si>
    <t>PERU</t>
  </si>
  <si>
    <t>DINAMARCA</t>
  </si>
  <si>
    <t>13:00</t>
  </si>
  <si>
    <t>21/06/2018</t>
  </si>
  <si>
    <t>26/06/2018</t>
  </si>
  <si>
    <t>ARGENTINA</t>
  </si>
  <si>
    <t>ISLÂNDIA</t>
  </si>
  <si>
    <t>10:00</t>
  </si>
  <si>
    <t>SPARTAK</t>
  </si>
  <si>
    <t>CROÁCIA</t>
  </si>
  <si>
    <t>NIGÉRIA</t>
  </si>
  <si>
    <t>16:00</t>
  </si>
  <si>
    <t>22/06/2018</t>
  </si>
  <si>
    <t>NIZHNY NOVGOROD</t>
  </si>
  <si>
    <t>BRASIL</t>
  </si>
  <si>
    <t>SUIÇA</t>
  </si>
  <si>
    <t>17/06/2018</t>
  </si>
  <si>
    <t>DOM</t>
  </si>
  <si>
    <t>COSTA RICA</t>
  </si>
  <si>
    <t>SÉRVIA</t>
  </si>
  <si>
    <t>27/06/2018</t>
  </si>
  <si>
    <t>ALEMANHA</t>
  </si>
  <si>
    <t>MÉXICO</t>
  </si>
  <si>
    <t>SUÉCIA</t>
  </si>
  <si>
    <t>COREIA DO SUL</t>
  </si>
  <si>
    <t>18/06/2018</t>
  </si>
  <si>
    <t>23/06/2018</t>
  </si>
  <si>
    <t>BÉLGICA</t>
  </si>
  <si>
    <t>PANAMÁ</t>
  </si>
  <si>
    <t>TUNÍSIA</t>
  </si>
  <si>
    <t>INGLATERRA</t>
  </si>
  <si>
    <t>24/06/2018</t>
  </si>
  <si>
    <t>28/06/2018</t>
  </si>
  <si>
    <t>POLÔNIA</t>
  </si>
  <si>
    <t>SENEGAL</t>
  </si>
  <si>
    <t>COLÔMBIA</t>
  </si>
  <si>
    <t>JAPÃO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</si>
</sst>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Footlight MT Light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9" fontId="0" fillId="0" borderId="0" xfId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269300</xdr:colOff>
      <xdr:row>0</xdr:row>
      <xdr:rowOff>104782</xdr:rowOff>
    </xdr:from>
    <xdr:to>
      <xdr:col>2</xdr:col>
      <xdr:colOff>63275</xdr:colOff>
      <xdr:row>4</xdr:row>
      <xdr:rowOff>175821</xdr:rowOff>
    </xdr:to>
    <xdr:pic>
      <xdr:nvPicPr>
        <xdr:cNvPr id="2" name="Imagem 1" descr="Imagem relacionada">
          <a:extLst>
            <a:ext uri="{FF2B5EF4-FFF2-40B4-BE49-F238E27FC236}">
              <a16:creationId xmlns:a16="http://schemas.microsoft.com/office/drawing/2014/main" id="{D32D7FF2-CD19-4E66-A8FC-0542E36F5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900" y="104782"/>
          <a:ext cx="756000" cy="833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6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8C6D4-DAE4-491D-BEC6-84A315DDBDD2}">
  <sheetPr codeName="Planilha1"/>
  <dimension ref="A1:G23"/>
  <sheetViews>
    <sheetView tabSelected="1" workbookViewId="0">
      <selection activeCell="B24" sqref="B24"/>
    </sheetView>
  </sheetViews>
  <sheetFormatPr defaultRowHeight="15" x14ac:dyDescent="0.25"/>
  <cols>
    <col min="2" max="2" width="19.7109375" customWidth="1"/>
  </cols>
  <sheetData>
    <row r="1" spans="1:7" x14ac:dyDescent="0.25">
      <c r="A1" t="str" cm="1">
        <f t="array" ref="A1">fruta()</f>
        <v>Banana</v>
      </c>
    </row>
    <row r="4" spans="1:7" x14ac:dyDescent="0.25">
      <c r="B4" t="s">
        <v>0</v>
      </c>
      <c r="C4">
        <v>4</v>
      </c>
    </row>
    <row r="5" spans="1:7" x14ac:dyDescent="0.25">
      <c r="B5" t="s">
        <v>0</v>
      </c>
      <c r="C5">
        <v>17</v>
      </c>
      <c r="F5" cm="1">
        <f t="array" ref="F5">somar(C4:C18)</f>
        <v>822</v>
      </c>
    </row>
    <row r="6" spans="1:7" x14ac:dyDescent="0.25">
      <c r="B6" t="s">
        <v>1</v>
      </c>
      <c r="C6">
        <v>96</v>
      </c>
    </row>
    <row r="7" spans="1:7" x14ac:dyDescent="0.25">
      <c r="B7" t="s">
        <v>1</v>
      </c>
      <c r="C7">
        <v>29</v>
      </c>
    </row>
    <row r="8" spans="1:7" x14ac:dyDescent="0.25">
      <c r="B8" t="s">
        <v>2</v>
      </c>
      <c r="C8">
        <v>37</v>
      </c>
    </row>
    <row r="9" spans="1:7" x14ac:dyDescent="0.25">
      <c r="B9" t="s">
        <v>2</v>
      </c>
      <c r="C9">
        <v>31</v>
      </c>
      <c r="F9">
        <f>SUM(C4:C18)</f>
        <v>822</v>
      </c>
    </row>
    <row r="10" spans="1:7" x14ac:dyDescent="0.25">
      <c r="B10" t="s">
        <v>0</v>
      </c>
      <c r="C10">
        <v>91</v>
      </c>
    </row>
    <row r="11" spans="1:7" x14ac:dyDescent="0.25">
      <c r="B11" t="s">
        <v>1</v>
      </c>
      <c r="C11">
        <v>12</v>
      </c>
      <c r="D11" s="1"/>
    </row>
    <row r="12" spans="1:7" x14ac:dyDescent="0.25">
      <c r="B12" t="s">
        <v>2</v>
      </c>
      <c r="C12">
        <v>48</v>
      </c>
      <c r="F12" cm="1">
        <f t="array" ref="F12">SOMARC(C4:C18,B4:B18,"d")</f>
        <v>129</v>
      </c>
    </row>
    <row r="13" spans="1:7" x14ac:dyDescent="0.25">
      <c r="B13" t="s">
        <v>3</v>
      </c>
      <c r="C13">
        <v>35</v>
      </c>
    </row>
    <row r="14" spans="1:7" x14ac:dyDescent="0.25">
      <c r="B14" t="s">
        <v>0</v>
      </c>
      <c r="C14">
        <v>77</v>
      </c>
      <c r="G14" cm="1">
        <f t="array" ref="G14">SOMARC(B4:B18,C4:C18,"c")</f>
        <v>0</v>
      </c>
    </row>
    <row r="15" spans="1:7" x14ac:dyDescent="0.25">
      <c r="B15" t="s">
        <v>1</v>
      </c>
      <c r="C15">
        <v>100</v>
      </c>
    </row>
    <row r="16" spans="1:7" x14ac:dyDescent="0.25">
      <c r="B16" t="s">
        <v>2</v>
      </c>
      <c r="C16">
        <v>89</v>
      </c>
    </row>
    <row r="17" spans="2:6" x14ac:dyDescent="0.25">
      <c r="B17" t="s">
        <v>3</v>
      </c>
      <c r="C17">
        <v>94</v>
      </c>
      <c r="F17" cm="1">
        <f t="array" ref="F17">CONTARC(B4:B18,"c")</f>
        <v>4</v>
      </c>
    </row>
    <row r="18" spans="2:6" x14ac:dyDescent="0.25">
      <c r="B18" t="s">
        <v>0</v>
      </c>
      <c r="C18">
        <v>62</v>
      </c>
    </row>
    <row r="23" spans="2:6" x14ac:dyDescent="0.25">
      <c r="B23" cm="1">
        <f t="array" ref="B23:C23">BHASKARA(-3,18,-15)</f>
        <v>1</v>
      </c>
      <c r="C23"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2818F-BD0F-40C1-A6CB-0DDABBCFD692}">
  <sheetPr codeName="Planilha2"/>
  <dimension ref="A3:L36"/>
  <sheetViews>
    <sheetView topLeftCell="A10" workbookViewId="0">
      <selection activeCell="K41" sqref="K41"/>
    </sheetView>
  </sheetViews>
  <sheetFormatPr defaultRowHeight="15" x14ac:dyDescent="0.25"/>
  <cols>
    <col min="5" max="5" width="9.28515625" customWidth="1"/>
  </cols>
  <sheetData>
    <row r="3" spans="1:5" x14ac:dyDescent="0.25">
      <c r="A3">
        <v>100</v>
      </c>
      <c r="B3" s="1">
        <v>0.1</v>
      </c>
      <c r="C3">
        <f>A3*B3</f>
        <v>10</v>
      </c>
      <c r="D3">
        <f>A3+C3</f>
        <v>110</v>
      </c>
      <c r="E3" s="2" cm="1">
        <f t="array" ref="E3">VARAC(B3:B7)</f>
        <v>0.63944000000000001</v>
      </c>
    </row>
    <row r="4" spans="1:5" x14ac:dyDescent="0.25">
      <c r="A4">
        <f>D3</f>
        <v>110</v>
      </c>
      <c r="B4" s="1">
        <v>0.2</v>
      </c>
      <c r="C4">
        <f>A4*B4</f>
        <v>22</v>
      </c>
      <c r="D4">
        <f>A4+C4</f>
        <v>132</v>
      </c>
    </row>
    <row r="5" spans="1:5" x14ac:dyDescent="0.25">
      <c r="B5" s="1">
        <v>0.2</v>
      </c>
    </row>
    <row r="6" spans="1:5" x14ac:dyDescent="0.25">
      <c r="B6" s="1">
        <v>-0.1</v>
      </c>
    </row>
    <row r="7" spans="1:5" x14ac:dyDescent="0.25">
      <c r="B7" s="1">
        <v>0.15</v>
      </c>
    </row>
    <row r="17" spans="1:12" x14ac:dyDescent="0.25">
      <c r="A17" t="e" cm="1" vm="1">
        <f t="array" aca="1" ref="A17" ca="1">_xludf.days()</f>
        <v>#VALUE!</v>
      </c>
    </row>
    <row r="20" spans="1:12" x14ac:dyDescent="0.25">
      <c r="A20" t="str" cm="1">
        <f t="array" ref="A20:A26">_xludf.days()</f>
        <v>SEG</v>
      </c>
    </row>
    <row r="21" spans="1:12" x14ac:dyDescent="0.25">
      <c r="A21" t="str">
        <v>TER</v>
      </c>
    </row>
    <row r="22" spans="1:12" x14ac:dyDescent="0.25">
      <c r="A22" t="str">
        <v>QUA</v>
      </c>
    </row>
    <row r="23" spans="1:12" x14ac:dyDescent="0.25">
      <c r="A23" t="str">
        <v>QUI</v>
      </c>
    </row>
    <row r="24" spans="1:12" x14ac:dyDescent="0.25">
      <c r="A24" t="str">
        <v>SEX</v>
      </c>
    </row>
    <row r="25" spans="1:12" x14ac:dyDescent="0.25">
      <c r="A25" t="str">
        <v>SAB</v>
      </c>
    </row>
    <row r="26" spans="1:12" x14ac:dyDescent="0.25">
      <c r="A26" t="str">
        <v>DOM</v>
      </c>
      <c r="G26" cm="1">
        <f t="array" ref="G26:H27">MATRIZTESTE()</f>
        <v>1</v>
      </c>
      <c r="H26">
        <v>2</v>
      </c>
      <c r="K26">
        <f t="array" ref="K26:L27">MATRIZTESTE()</f>
        <v>1</v>
      </c>
      <c r="L26">
        <v>2</v>
      </c>
    </row>
    <row r="27" spans="1:12" x14ac:dyDescent="0.25">
      <c r="G27">
        <v>3</v>
      </c>
      <c r="H27">
        <v>4</v>
      </c>
      <c r="K27">
        <v>3</v>
      </c>
      <c r="L27">
        <v>4</v>
      </c>
    </row>
    <row r="30" spans="1:12" x14ac:dyDescent="0.25">
      <c r="A30" t="str" cm="1">
        <f t="array" ref="A30:A36">datas()</f>
        <v>domingo</v>
      </c>
      <c r="G30" t="str" cm="1">
        <f t="array" ref="G30:I30">TRIMESTRE(1)</f>
        <v>JAN</v>
      </c>
      <c r="H30" t="str">
        <v>FEV</v>
      </c>
      <c r="I30" t="str">
        <v>MAR</v>
      </c>
    </row>
    <row r="31" spans="1:12" x14ac:dyDescent="0.25">
      <c r="A31" t="str">
        <v>segunda-feira</v>
      </c>
    </row>
    <row r="32" spans="1:12" x14ac:dyDescent="0.25">
      <c r="A32" t="str">
        <v>terça-feira</v>
      </c>
    </row>
    <row r="33" spans="1:7" x14ac:dyDescent="0.25">
      <c r="A33" t="str">
        <v>quarta-feira</v>
      </c>
    </row>
    <row r="34" spans="1:7" x14ac:dyDescent="0.25">
      <c r="A34" t="str">
        <v>quinta-feira</v>
      </c>
      <c r="G34" t="str" cm="1">
        <f t="array" ref="G34:G36">TRIMESTRE2(3)</f>
        <v>JUL</v>
      </c>
    </row>
    <row r="35" spans="1:7" x14ac:dyDescent="0.25">
      <c r="A35" t="str">
        <v>sexta-feira</v>
      </c>
      <c r="G35" t="str">
        <v>AGO</v>
      </c>
    </row>
    <row r="36" spans="1:7" x14ac:dyDescent="0.25">
      <c r="A36" t="str">
        <v>sábado</v>
      </c>
      <c r="G36" t="str">
        <v>SET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75CE2-F212-4E54-8A1C-3180424C1150}">
  <sheetPr codeName="Planilha3"/>
  <dimension ref="B3:N55"/>
  <sheetViews>
    <sheetView showGridLines="0" workbookViewId="0">
      <selection activeCell="J16" sqref="J16"/>
    </sheetView>
  </sheetViews>
  <sheetFormatPr defaultRowHeight="15" x14ac:dyDescent="0.25"/>
  <cols>
    <col min="2" max="2" width="14.42578125" style="4" bestFit="1" customWidth="1"/>
    <col min="3" max="3" width="16" style="4" bestFit="1" customWidth="1"/>
    <col min="4" max="4" width="11.140625" style="4" customWidth="1"/>
    <col min="5" max="5" width="12.28515625" style="4" bestFit="1" customWidth="1"/>
    <col min="6" max="6" width="9.140625" style="4"/>
    <col min="7" max="7" width="19.7109375" style="4" customWidth="1"/>
    <col min="8" max="9" width="2" customWidth="1"/>
    <col min="10" max="10" width="16.7109375" bestFit="1" customWidth="1"/>
    <col min="11" max="11" width="16" bestFit="1" customWidth="1"/>
    <col min="12" max="12" width="19.140625" bestFit="1" customWidth="1"/>
  </cols>
  <sheetData>
    <row r="3" spans="2:14" x14ac:dyDescent="0.25">
      <c r="B3"/>
      <c r="C3" s="3" t="s">
        <v>4</v>
      </c>
      <c r="D3" s="3"/>
      <c r="E3" s="3"/>
      <c r="F3" s="3"/>
      <c r="G3" s="3"/>
    </row>
    <row r="4" spans="2:14" x14ac:dyDescent="0.25">
      <c r="C4" s="3"/>
      <c r="D4" s="3"/>
      <c r="E4" s="3"/>
      <c r="F4" s="3"/>
      <c r="G4" s="3"/>
    </row>
    <row r="7" spans="2:14" x14ac:dyDescent="0.25">
      <c r="B7" s="5" t="s">
        <v>5</v>
      </c>
      <c r="C7" s="5" t="s">
        <v>6</v>
      </c>
      <c r="D7" s="5" t="s">
        <v>7</v>
      </c>
      <c r="E7" s="5" t="s">
        <v>8</v>
      </c>
      <c r="F7" s="5" t="s">
        <v>9</v>
      </c>
      <c r="G7" s="5" t="s">
        <v>10</v>
      </c>
      <c r="J7" s="5" t="s">
        <v>5</v>
      </c>
      <c r="K7" s="5" t="s">
        <v>6</v>
      </c>
      <c r="L7" s="5" t="s">
        <v>10</v>
      </c>
    </row>
    <row r="8" spans="2:14" x14ac:dyDescent="0.25">
      <c r="B8" s="6" t="s">
        <v>11</v>
      </c>
      <c r="C8" s="6" t="s">
        <v>12</v>
      </c>
      <c r="D8" s="6" t="s">
        <v>13</v>
      </c>
      <c r="E8" s="6" t="s">
        <v>14</v>
      </c>
      <c r="F8" s="6" t="s">
        <v>15</v>
      </c>
      <c r="G8" s="6" t="s">
        <v>16</v>
      </c>
      <c r="J8" s="7" t="s">
        <v>17</v>
      </c>
      <c r="K8" s="6" t="s">
        <v>18</v>
      </c>
      <c r="L8" s="8" t="str" cm="1">
        <f t="array" ref="L8">PROCV3(J8,1,jogos,6)</f>
        <v>ROSTOV</v>
      </c>
    </row>
    <row r="9" spans="2:14" x14ac:dyDescent="0.25">
      <c r="B9" s="6" t="s">
        <v>19</v>
      </c>
      <c r="C9" s="6" t="s">
        <v>17</v>
      </c>
      <c r="D9" s="6" t="s">
        <v>20</v>
      </c>
      <c r="E9" s="6" t="s">
        <v>21</v>
      </c>
      <c r="F9" s="6" t="s">
        <v>22</v>
      </c>
      <c r="G9" s="6" t="s">
        <v>23</v>
      </c>
    </row>
    <row r="10" spans="2:14" x14ac:dyDescent="0.25">
      <c r="B10" s="6" t="s">
        <v>17</v>
      </c>
      <c r="C10" s="6" t="s">
        <v>12</v>
      </c>
      <c r="D10" s="6" t="s">
        <v>24</v>
      </c>
      <c r="E10" s="6" t="s">
        <v>18</v>
      </c>
      <c r="F10" s="6" t="s">
        <v>15</v>
      </c>
      <c r="G10" s="6" t="s">
        <v>25</v>
      </c>
    </row>
    <row r="11" spans="2:14" x14ac:dyDescent="0.25">
      <c r="B11" s="6" t="s">
        <v>11</v>
      </c>
      <c r="C11" s="6" t="s">
        <v>19</v>
      </c>
      <c r="D11" s="6" t="s">
        <v>26</v>
      </c>
      <c r="E11" s="6" t="s">
        <v>27</v>
      </c>
      <c r="F11" s="6" t="s">
        <v>28</v>
      </c>
      <c r="G11" s="6" t="s">
        <v>29</v>
      </c>
    </row>
    <row r="12" spans="2:14" ht="15" customHeight="1" x14ac:dyDescent="0.25">
      <c r="B12" s="6" t="s">
        <v>19</v>
      </c>
      <c r="C12" s="6" t="s">
        <v>12</v>
      </c>
      <c r="D12" s="6" t="s">
        <v>30</v>
      </c>
      <c r="E12" s="6" t="s">
        <v>31</v>
      </c>
      <c r="F12" s="6" t="s">
        <v>32</v>
      </c>
      <c r="G12" s="6" t="s">
        <v>33</v>
      </c>
      <c r="J12" s="3" t="s">
        <v>34</v>
      </c>
      <c r="K12" s="3"/>
      <c r="L12" s="3"/>
      <c r="M12" s="9"/>
      <c r="N12" s="9"/>
    </row>
    <row r="13" spans="2:14" ht="15" customHeight="1" x14ac:dyDescent="0.25">
      <c r="B13" s="6" t="s">
        <v>17</v>
      </c>
      <c r="C13" s="6" t="s">
        <v>11</v>
      </c>
      <c r="D13" s="6" t="s">
        <v>30</v>
      </c>
      <c r="E13" s="6" t="s">
        <v>31</v>
      </c>
      <c r="F13" s="6" t="s">
        <v>32</v>
      </c>
      <c r="G13" s="6" t="s">
        <v>35</v>
      </c>
      <c r="J13" s="3"/>
      <c r="K13" s="3"/>
      <c r="L13" s="3"/>
      <c r="M13" s="9"/>
      <c r="N13" s="9"/>
    </row>
    <row r="14" spans="2:14" x14ac:dyDescent="0.25">
      <c r="B14" s="6" t="s">
        <v>36</v>
      </c>
      <c r="C14" s="6" t="s">
        <v>37</v>
      </c>
      <c r="D14" s="6" t="s">
        <v>20</v>
      </c>
      <c r="E14" s="6" t="s">
        <v>21</v>
      </c>
      <c r="F14" s="6" t="s">
        <v>28</v>
      </c>
      <c r="G14" s="6" t="s">
        <v>38</v>
      </c>
      <c r="J14" s="5" t="s">
        <v>10</v>
      </c>
      <c r="K14" s="5" t="s">
        <v>6</v>
      </c>
      <c r="L14" s="5" t="s">
        <v>5</v>
      </c>
    </row>
    <row r="15" spans="2:14" x14ac:dyDescent="0.25">
      <c r="B15" s="6" t="s">
        <v>39</v>
      </c>
      <c r="C15" s="6" t="s">
        <v>40</v>
      </c>
      <c r="D15" s="6" t="s">
        <v>20</v>
      </c>
      <c r="E15" s="6" t="s">
        <v>21</v>
      </c>
      <c r="F15" s="6" t="s">
        <v>15</v>
      </c>
      <c r="G15" s="6" t="s">
        <v>29</v>
      </c>
      <c r="J15" s="4" t="str" cm="1">
        <f t="array" ref="J15">PROCV4(K15,1,L15,2,jogos,6)</f>
        <v>VOLGOGRADO</v>
      </c>
      <c r="K15" s="4" t="s">
        <v>19</v>
      </c>
      <c r="L15" s="4" t="s">
        <v>12</v>
      </c>
    </row>
    <row r="16" spans="2:14" x14ac:dyDescent="0.25">
      <c r="B16" s="6" t="s">
        <v>40</v>
      </c>
      <c r="C16" s="6" t="s">
        <v>37</v>
      </c>
      <c r="D16" s="6" t="s">
        <v>24</v>
      </c>
      <c r="E16" s="6" t="s">
        <v>18</v>
      </c>
      <c r="F16" s="6" t="s">
        <v>28</v>
      </c>
      <c r="G16" s="6" t="s">
        <v>41</v>
      </c>
    </row>
    <row r="17" spans="2:11" x14ac:dyDescent="0.25">
      <c r="B17" s="6" t="s">
        <v>36</v>
      </c>
      <c r="C17" s="6" t="s">
        <v>39</v>
      </c>
      <c r="D17" s="6" t="s">
        <v>24</v>
      </c>
      <c r="E17" s="6" t="s">
        <v>18</v>
      </c>
      <c r="F17" s="6" t="s">
        <v>22</v>
      </c>
      <c r="G17" s="6" t="s">
        <v>16</v>
      </c>
      <c r="J17" s="6" t="s">
        <v>24</v>
      </c>
      <c r="K17" t="str" cm="1">
        <f t="array" ref="K17">PROCV3(J17,3,B8:G55,4)</f>
        <v>QUA</v>
      </c>
    </row>
    <row r="18" spans="2:11" x14ac:dyDescent="0.25">
      <c r="B18" s="6" t="s">
        <v>37</v>
      </c>
      <c r="C18" s="6" t="s">
        <v>39</v>
      </c>
      <c r="D18" s="6" t="s">
        <v>30</v>
      </c>
      <c r="E18" s="6" t="s">
        <v>31</v>
      </c>
      <c r="F18" s="6" t="s">
        <v>28</v>
      </c>
      <c r="G18" s="6" t="s">
        <v>42</v>
      </c>
      <c r="J18" s="6" t="s">
        <v>35</v>
      </c>
      <c r="K18" t="str" cm="1">
        <f t="array" ref="K18">PROCV3(J18,6,jogos,1)</f>
        <v>URUGUAI</v>
      </c>
    </row>
    <row r="19" spans="2:11" x14ac:dyDescent="0.25">
      <c r="B19" s="6" t="s">
        <v>40</v>
      </c>
      <c r="C19" s="6" t="s">
        <v>36</v>
      </c>
      <c r="D19" s="6" t="s">
        <v>30</v>
      </c>
      <c r="E19" s="6" t="s">
        <v>31</v>
      </c>
      <c r="F19" s="6" t="s">
        <v>28</v>
      </c>
      <c r="G19" s="6" t="s">
        <v>43</v>
      </c>
    </row>
    <row r="20" spans="2:11" x14ac:dyDescent="0.25">
      <c r="B20" s="6" t="s">
        <v>44</v>
      </c>
      <c r="C20" s="6" t="s">
        <v>45</v>
      </c>
      <c r="D20" s="6" t="s">
        <v>46</v>
      </c>
      <c r="E20" s="6" t="s">
        <v>47</v>
      </c>
      <c r="F20" s="6" t="s">
        <v>48</v>
      </c>
      <c r="G20" s="6" t="s">
        <v>41</v>
      </c>
    </row>
    <row r="21" spans="2:11" x14ac:dyDescent="0.25">
      <c r="B21" s="6" t="s">
        <v>49</v>
      </c>
      <c r="C21" s="6" t="s">
        <v>50</v>
      </c>
      <c r="D21" s="6" t="s">
        <v>46</v>
      </c>
      <c r="E21" s="6" t="s">
        <v>47</v>
      </c>
      <c r="F21" s="6" t="s">
        <v>51</v>
      </c>
      <c r="G21" s="6" t="s">
        <v>43</v>
      </c>
    </row>
    <row r="22" spans="2:11" x14ac:dyDescent="0.25">
      <c r="B22" s="6" t="s">
        <v>50</v>
      </c>
      <c r="C22" s="6" t="s">
        <v>45</v>
      </c>
      <c r="D22" s="6" t="s">
        <v>52</v>
      </c>
      <c r="E22" s="6" t="s">
        <v>14</v>
      </c>
      <c r="F22" s="6" t="s">
        <v>22</v>
      </c>
      <c r="G22" s="6" t="s">
        <v>35</v>
      </c>
    </row>
    <row r="23" spans="2:11" x14ac:dyDescent="0.25">
      <c r="B23" s="6" t="s">
        <v>44</v>
      </c>
      <c r="C23" s="6" t="s">
        <v>49</v>
      </c>
      <c r="D23" s="6" t="s">
        <v>52</v>
      </c>
      <c r="E23" s="6" t="s">
        <v>14</v>
      </c>
      <c r="F23" s="6" t="s">
        <v>15</v>
      </c>
      <c r="G23" s="6" t="s">
        <v>23</v>
      </c>
    </row>
    <row r="24" spans="2:11" x14ac:dyDescent="0.25">
      <c r="B24" s="6" t="s">
        <v>45</v>
      </c>
      <c r="C24" s="6" t="s">
        <v>49</v>
      </c>
      <c r="D24" s="6" t="s">
        <v>53</v>
      </c>
      <c r="E24" s="6" t="s">
        <v>27</v>
      </c>
      <c r="F24" s="6" t="s">
        <v>32</v>
      </c>
      <c r="G24" s="6" t="s">
        <v>38</v>
      </c>
    </row>
    <row r="25" spans="2:11" x14ac:dyDescent="0.25">
      <c r="B25" s="6" t="s">
        <v>50</v>
      </c>
      <c r="C25" s="6" t="s">
        <v>44</v>
      </c>
      <c r="D25" s="6" t="s">
        <v>53</v>
      </c>
      <c r="E25" s="6" t="s">
        <v>27</v>
      </c>
      <c r="F25" s="6" t="s">
        <v>32</v>
      </c>
      <c r="G25" s="6" t="s">
        <v>16</v>
      </c>
    </row>
    <row r="26" spans="2:11" x14ac:dyDescent="0.25">
      <c r="B26" s="6" t="s">
        <v>54</v>
      </c>
      <c r="C26" s="6" t="s">
        <v>55</v>
      </c>
      <c r="D26" s="6" t="s">
        <v>46</v>
      </c>
      <c r="E26" s="6" t="s">
        <v>47</v>
      </c>
      <c r="F26" s="6" t="s">
        <v>56</v>
      </c>
      <c r="G26" s="6" t="s">
        <v>57</v>
      </c>
    </row>
    <row r="27" spans="2:11" x14ac:dyDescent="0.25">
      <c r="B27" s="6" t="s">
        <v>58</v>
      </c>
      <c r="C27" s="6" t="s">
        <v>59</v>
      </c>
      <c r="D27" s="6" t="s">
        <v>46</v>
      </c>
      <c r="E27" s="6" t="s">
        <v>47</v>
      </c>
      <c r="F27" s="6" t="s">
        <v>60</v>
      </c>
      <c r="G27" s="6" t="s">
        <v>42</v>
      </c>
    </row>
    <row r="28" spans="2:11" x14ac:dyDescent="0.25">
      <c r="B28" s="6" t="s">
        <v>59</v>
      </c>
      <c r="C28" s="6" t="s">
        <v>55</v>
      </c>
      <c r="D28" s="6" t="s">
        <v>61</v>
      </c>
      <c r="E28" s="6" t="s">
        <v>21</v>
      </c>
      <c r="F28" s="6" t="s">
        <v>15</v>
      </c>
      <c r="G28" s="6" t="s">
        <v>33</v>
      </c>
    </row>
    <row r="29" spans="2:11" x14ac:dyDescent="0.25">
      <c r="B29" s="6" t="s">
        <v>54</v>
      </c>
      <c r="C29" s="6" t="s">
        <v>58</v>
      </c>
      <c r="D29" s="6" t="s">
        <v>52</v>
      </c>
      <c r="E29" s="6" t="s">
        <v>14</v>
      </c>
      <c r="F29" s="6" t="s">
        <v>28</v>
      </c>
      <c r="G29" s="6" t="s">
        <v>62</v>
      </c>
    </row>
    <row r="30" spans="2:11" x14ac:dyDescent="0.25">
      <c r="B30" s="6" t="s">
        <v>55</v>
      </c>
      <c r="C30" s="6" t="s">
        <v>58</v>
      </c>
      <c r="D30" s="6" t="s">
        <v>53</v>
      </c>
      <c r="E30" s="6" t="s">
        <v>27</v>
      </c>
      <c r="F30" s="6" t="s">
        <v>28</v>
      </c>
      <c r="G30" s="6" t="s">
        <v>25</v>
      </c>
    </row>
    <row r="31" spans="2:11" x14ac:dyDescent="0.25">
      <c r="B31" s="6" t="s">
        <v>59</v>
      </c>
      <c r="C31" s="6" t="s">
        <v>54</v>
      </c>
      <c r="D31" s="6" t="s">
        <v>53</v>
      </c>
      <c r="E31" s="6" t="s">
        <v>27</v>
      </c>
      <c r="F31" s="6" t="s">
        <v>28</v>
      </c>
      <c r="G31" s="6" t="s">
        <v>29</v>
      </c>
    </row>
    <row r="32" spans="2:11" x14ac:dyDescent="0.25">
      <c r="B32" s="6" t="s">
        <v>63</v>
      </c>
      <c r="C32" s="6" t="s">
        <v>64</v>
      </c>
      <c r="D32" s="6" t="s">
        <v>65</v>
      </c>
      <c r="E32" s="6" t="s">
        <v>66</v>
      </c>
      <c r="F32" s="6" t="s">
        <v>28</v>
      </c>
      <c r="G32" s="6" t="s">
        <v>25</v>
      </c>
    </row>
    <row r="33" spans="2:7" x14ac:dyDescent="0.25">
      <c r="B33" s="6" t="s">
        <v>67</v>
      </c>
      <c r="C33" s="6" t="s">
        <v>68</v>
      </c>
      <c r="D33" s="6" t="s">
        <v>65</v>
      </c>
      <c r="E33" s="6" t="s">
        <v>66</v>
      </c>
      <c r="F33" s="6" t="s">
        <v>22</v>
      </c>
      <c r="G33" s="6" t="s">
        <v>35</v>
      </c>
    </row>
    <row r="34" spans="2:7" x14ac:dyDescent="0.25">
      <c r="B34" s="6" t="s">
        <v>68</v>
      </c>
      <c r="C34" s="6" t="s">
        <v>64</v>
      </c>
      <c r="D34" s="6" t="s">
        <v>61</v>
      </c>
      <c r="E34" s="6" t="s">
        <v>21</v>
      </c>
      <c r="F34" s="6" t="s">
        <v>28</v>
      </c>
      <c r="G34" s="6" t="s">
        <v>42</v>
      </c>
    </row>
    <row r="35" spans="2:7" x14ac:dyDescent="0.25">
      <c r="B35" s="6" t="s">
        <v>63</v>
      </c>
      <c r="C35" s="6" t="s">
        <v>67</v>
      </c>
      <c r="D35" s="6" t="s">
        <v>61</v>
      </c>
      <c r="E35" s="6" t="s">
        <v>21</v>
      </c>
      <c r="F35" s="6" t="s">
        <v>22</v>
      </c>
      <c r="G35" s="6" t="s">
        <v>29</v>
      </c>
    </row>
    <row r="36" spans="2:7" x14ac:dyDescent="0.25">
      <c r="B36" s="6" t="s">
        <v>64</v>
      </c>
      <c r="C36" s="6" t="s">
        <v>67</v>
      </c>
      <c r="D36" s="6" t="s">
        <v>69</v>
      </c>
      <c r="E36" s="6" t="s">
        <v>18</v>
      </c>
      <c r="F36" s="6" t="s">
        <v>28</v>
      </c>
      <c r="G36" s="6" t="s">
        <v>62</v>
      </c>
    </row>
    <row r="37" spans="2:7" x14ac:dyDescent="0.25">
      <c r="B37" s="6" t="s">
        <v>68</v>
      </c>
      <c r="C37" s="6" t="s">
        <v>63</v>
      </c>
      <c r="D37" s="6" t="s">
        <v>69</v>
      </c>
      <c r="E37" s="6" t="s">
        <v>18</v>
      </c>
      <c r="F37" s="6" t="s">
        <v>28</v>
      </c>
      <c r="G37" s="6" t="s">
        <v>57</v>
      </c>
    </row>
    <row r="38" spans="2:7" x14ac:dyDescent="0.25">
      <c r="B38" s="6" t="s">
        <v>70</v>
      </c>
      <c r="C38" s="6" t="s">
        <v>71</v>
      </c>
      <c r="D38" s="6" t="s">
        <v>65</v>
      </c>
      <c r="E38" s="6" t="s">
        <v>66</v>
      </c>
      <c r="F38" s="6" t="s">
        <v>15</v>
      </c>
      <c r="G38" s="6" t="s">
        <v>16</v>
      </c>
    </row>
    <row r="39" spans="2:7" x14ac:dyDescent="0.25">
      <c r="B39" s="6" t="s">
        <v>72</v>
      </c>
      <c r="C39" s="6" t="s">
        <v>73</v>
      </c>
      <c r="D39" s="6" t="s">
        <v>74</v>
      </c>
      <c r="E39" s="6" t="s">
        <v>31</v>
      </c>
      <c r="F39" s="6" t="s">
        <v>22</v>
      </c>
      <c r="G39" s="6" t="s">
        <v>62</v>
      </c>
    </row>
    <row r="40" spans="2:7" x14ac:dyDescent="0.25">
      <c r="B40" s="6" t="s">
        <v>73</v>
      </c>
      <c r="C40" s="6" t="s">
        <v>71</v>
      </c>
      <c r="D40" s="6" t="s">
        <v>75</v>
      </c>
      <c r="E40" s="6" t="s">
        <v>47</v>
      </c>
      <c r="F40" s="6" t="s">
        <v>15</v>
      </c>
      <c r="G40" s="6" t="s">
        <v>25</v>
      </c>
    </row>
    <row r="41" spans="2:7" x14ac:dyDescent="0.25">
      <c r="B41" s="6" t="s">
        <v>70</v>
      </c>
      <c r="C41" s="6" t="s">
        <v>72</v>
      </c>
      <c r="D41" s="6" t="s">
        <v>75</v>
      </c>
      <c r="E41" s="6" t="s">
        <v>47</v>
      </c>
      <c r="F41" s="6" t="s">
        <v>28</v>
      </c>
      <c r="G41" s="6" t="s">
        <v>38</v>
      </c>
    </row>
    <row r="42" spans="2:7" x14ac:dyDescent="0.25">
      <c r="B42" s="6" t="s">
        <v>71</v>
      </c>
      <c r="C42" s="6" t="s">
        <v>72</v>
      </c>
      <c r="D42" s="6" t="s">
        <v>69</v>
      </c>
      <c r="E42" s="6" t="s">
        <v>18</v>
      </c>
      <c r="F42" s="6" t="s">
        <v>32</v>
      </c>
      <c r="G42" s="6" t="s">
        <v>23</v>
      </c>
    </row>
    <row r="43" spans="2:7" x14ac:dyDescent="0.25">
      <c r="B43" s="6" t="s">
        <v>73</v>
      </c>
      <c r="C43" s="6" t="s">
        <v>70</v>
      </c>
      <c r="D43" s="6" t="s">
        <v>69</v>
      </c>
      <c r="E43" s="6" t="s">
        <v>18</v>
      </c>
      <c r="F43" s="6" t="s">
        <v>32</v>
      </c>
      <c r="G43" s="6" t="s">
        <v>41</v>
      </c>
    </row>
    <row r="44" spans="2:7" x14ac:dyDescent="0.25">
      <c r="B44" s="6" t="s">
        <v>76</v>
      </c>
      <c r="C44" s="6" t="s">
        <v>77</v>
      </c>
      <c r="D44" s="6" t="s">
        <v>74</v>
      </c>
      <c r="E44" s="6" t="s">
        <v>31</v>
      </c>
      <c r="F44" s="6" t="s">
        <v>15</v>
      </c>
      <c r="G44" s="6" t="s">
        <v>38</v>
      </c>
    </row>
    <row r="45" spans="2:7" x14ac:dyDescent="0.25">
      <c r="B45" s="6" t="s">
        <v>78</v>
      </c>
      <c r="C45" s="6" t="s">
        <v>79</v>
      </c>
      <c r="D45" s="6" t="s">
        <v>74</v>
      </c>
      <c r="E45" s="6" t="s">
        <v>31</v>
      </c>
      <c r="F45" s="6" t="s">
        <v>28</v>
      </c>
      <c r="G45" s="6" t="s">
        <v>33</v>
      </c>
    </row>
    <row r="46" spans="2:7" x14ac:dyDescent="0.25">
      <c r="B46" s="6" t="s">
        <v>79</v>
      </c>
      <c r="C46" s="6" t="s">
        <v>77</v>
      </c>
      <c r="D46" s="6" t="s">
        <v>80</v>
      </c>
      <c r="E46" s="6" t="s">
        <v>66</v>
      </c>
      <c r="F46" s="6" t="s">
        <v>22</v>
      </c>
      <c r="G46" s="6" t="s">
        <v>62</v>
      </c>
    </row>
    <row r="47" spans="2:7" x14ac:dyDescent="0.25">
      <c r="B47" s="10" t="s">
        <v>76</v>
      </c>
      <c r="C47" s="10" t="s">
        <v>78</v>
      </c>
      <c r="D47" s="6" t="s">
        <v>75</v>
      </c>
      <c r="E47" s="6" t="s">
        <v>47</v>
      </c>
      <c r="F47" s="6" t="s">
        <v>22</v>
      </c>
      <c r="G47" s="6" t="s">
        <v>57</v>
      </c>
    </row>
    <row r="48" spans="2:7" x14ac:dyDescent="0.25">
      <c r="B48" s="6" t="s">
        <v>77</v>
      </c>
      <c r="C48" s="6" t="s">
        <v>78</v>
      </c>
      <c r="D48" s="6" t="s">
        <v>81</v>
      </c>
      <c r="E48" s="6" t="s">
        <v>14</v>
      </c>
      <c r="F48" s="6" t="s">
        <v>28</v>
      </c>
      <c r="G48" s="6" t="s">
        <v>43</v>
      </c>
    </row>
    <row r="49" spans="2:7" x14ac:dyDescent="0.25">
      <c r="B49" s="6" t="s">
        <v>79</v>
      </c>
      <c r="C49" s="6" t="s">
        <v>76</v>
      </c>
      <c r="D49" s="6" t="s">
        <v>81</v>
      </c>
      <c r="E49" s="6" t="s">
        <v>14</v>
      </c>
      <c r="F49" s="6" t="s">
        <v>28</v>
      </c>
      <c r="G49" s="6" t="s">
        <v>42</v>
      </c>
    </row>
    <row r="50" spans="2:7" x14ac:dyDescent="0.25">
      <c r="B50" s="6" t="s">
        <v>82</v>
      </c>
      <c r="C50" s="6" t="s">
        <v>83</v>
      </c>
      <c r="D50" s="6" t="s">
        <v>26</v>
      </c>
      <c r="E50" s="6" t="s">
        <v>27</v>
      </c>
      <c r="F50" s="6" t="s">
        <v>15</v>
      </c>
      <c r="G50" s="6" t="s">
        <v>57</v>
      </c>
    </row>
    <row r="51" spans="2:7" x14ac:dyDescent="0.25">
      <c r="B51" s="6" t="s">
        <v>84</v>
      </c>
      <c r="C51" s="6" t="s">
        <v>85</v>
      </c>
      <c r="D51" s="6" t="s">
        <v>26</v>
      </c>
      <c r="E51" s="6" t="s">
        <v>27</v>
      </c>
      <c r="F51" s="6" t="s">
        <v>22</v>
      </c>
      <c r="G51" s="6" t="s">
        <v>43</v>
      </c>
    </row>
    <row r="52" spans="2:7" x14ac:dyDescent="0.25">
      <c r="B52" s="6" t="s">
        <v>85</v>
      </c>
      <c r="C52" s="6" t="s">
        <v>83</v>
      </c>
      <c r="D52" s="6" t="s">
        <v>80</v>
      </c>
      <c r="E52" s="6" t="s">
        <v>66</v>
      </c>
      <c r="F52" s="6" t="s">
        <v>15</v>
      </c>
      <c r="G52" s="6" t="s">
        <v>23</v>
      </c>
    </row>
    <row r="53" spans="2:7" x14ac:dyDescent="0.25">
      <c r="B53" s="6" t="s">
        <v>82</v>
      </c>
      <c r="C53" s="6" t="s">
        <v>84</v>
      </c>
      <c r="D53" s="6" t="s">
        <v>80</v>
      </c>
      <c r="E53" s="6" t="s">
        <v>66</v>
      </c>
      <c r="F53" s="6" t="s">
        <v>28</v>
      </c>
      <c r="G53" s="6" t="s">
        <v>41</v>
      </c>
    </row>
    <row r="54" spans="2:7" x14ac:dyDescent="0.25">
      <c r="B54" s="6" t="s">
        <v>83</v>
      </c>
      <c r="C54" s="6" t="s">
        <v>84</v>
      </c>
      <c r="D54" s="6" t="s">
        <v>81</v>
      </c>
      <c r="E54" s="6" t="s">
        <v>14</v>
      </c>
      <c r="F54" s="6" t="s">
        <v>32</v>
      </c>
      <c r="G54" s="6" t="s">
        <v>35</v>
      </c>
    </row>
    <row r="55" spans="2:7" x14ac:dyDescent="0.25">
      <c r="B55" s="6" t="s">
        <v>85</v>
      </c>
      <c r="C55" s="6" t="s">
        <v>82</v>
      </c>
      <c r="D55" s="6" t="s">
        <v>81</v>
      </c>
      <c r="E55" s="6" t="s">
        <v>14</v>
      </c>
      <c r="F55" s="6" t="s">
        <v>32</v>
      </c>
      <c r="G55" s="6" t="s">
        <v>33</v>
      </c>
    </row>
  </sheetData>
  <mergeCells count="2">
    <mergeCell ref="C3:G4"/>
    <mergeCell ref="J12:L1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Planilha1</vt:lpstr>
      <vt:lpstr>Planilha2</vt:lpstr>
      <vt:lpstr>copa_do_mundo</vt:lpstr>
      <vt:lpstr>jogos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2023-03-25T12:55:07Z</dcterms:created>
  <dcterms:modified xsi:type="dcterms:W3CDTF">2023-03-27T01:46:44Z</dcterms:modified>
</cp:coreProperties>
</file>