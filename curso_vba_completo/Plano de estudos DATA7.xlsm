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FC4B0129-0318-471A-9992-4F2FEFEFFBAB}" xr6:coauthVersionLast="47" xr6:coauthVersionMax="47" xr10:uidLastSave="{00000000-0000-0000-0000-000000000000}"/>
  <bookViews>
    <workbookView showSheetTabs="0" xWindow="-120" yWindow="-120" windowWidth="29040" windowHeight="15840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<sst xmlns="http://schemas.openxmlformats.org/spreadsheetml/2006/main" count="520" uniqueCount="140">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</sst>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64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topLeftCell="A8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6">
        <v>44976</v>
      </c>
      <c r="E8" s="37"/>
      <c r="F8" s="38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21</v>
      </c>
      <c r="C10" s="49">
        <v>3</v>
      </c>
      <c r="D10" s="50" t="s">
        <v>23</v>
      </c>
      <c r="E10" s="51">
        <v>1.0324074074074074E-2</v>
      </c>
      <c r="F10" s="35" t="s">
        <v>139</v>
      </c>
      <c r="G10" s="49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22</v>
      </c>
      <c r="C11" s="55">
        <v>3</v>
      </c>
      <c r="D11" s="56" t="s">
        <v>24</v>
      </c>
      <c r="E11" s="57">
        <v>3.1944444444444442E-3</v>
      </c>
      <c r="F11" s="58" t="s">
        <v>139</v>
      </c>
      <c r="G11" s="55" t="s">
        <v>132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23</v>
      </c>
      <c r="C12" s="55">
        <v>3</v>
      </c>
      <c r="D12" s="56" t="s">
        <v>25</v>
      </c>
      <c r="E12" s="57">
        <v>4.2824074074074075E-3</v>
      </c>
      <c r="F12" s="58" t="s">
        <v>139</v>
      </c>
      <c r="G12" s="55" t="s">
        <v>132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24</v>
      </c>
      <c r="C13" s="55">
        <v>3</v>
      </c>
      <c r="D13" s="56" t="s">
        <v>26</v>
      </c>
      <c r="E13" s="57">
        <v>8.4953703703703701E-3</v>
      </c>
      <c r="F13" s="58" t="s">
        <v>139</v>
      </c>
      <c r="G13" s="55" t="s">
        <v>132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25</v>
      </c>
      <c r="C14" s="55">
        <v>3</v>
      </c>
      <c r="D14" s="56" t="s">
        <v>27</v>
      </c>
      <c r="E14" s="57">
        <v>7.2222222222222228E-3</v>
      </c>
      <c r="F14" s="58" t="s">
        <v>136</v>
      </c>
      <c r="G14" s="55" t="s">
        <v>133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26</v>
      </c>
      <c r="C15" s="55">
        <v>3</v>
      </c>
      <c r="D15" s="56" t="s">
        <v>28</v>
      </c>
      <c r="E15" s="57">
        <v>9.9074074074074082E-3</v>
      </c>
      <c r="F15" s="58" t="s">
        <v>136</v>
      </c>
      <c r="G15" s="55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 s="44"/>
      <c r="C16" s="52"/>
      <c r="D16" s="53"/>
      <c r="E16" s="54"/>
      <c r="F16" s="48"/>
      <c r="G16" s="52"/>
    </row>
    <row r="17" spans="2:15" ht="20.100000000000001" customHeight="1" x14ac:dyDescent="0.25">
      <c r="B17" s="44"/>
      <c r="C17" s="45"/>
      <c r="D17" s="46"/>
      <c r="E17" s="47"/>
      <c r="F17" s="45"/>
      <c r="G17" s="45"/>
      <c r="I17" s="39" t="s">
        <v>131</v>
      </c>
      <c r="J17" s="39"/>
      <c r="K17" s="39"/>
      <c r="L17" s="39"/>
      <c r="M17" s="39"/>
      <c r="N17" s="39"/>
      <c r="O17" s="39"/>
    </row>
    <row r="18" spans="2:15" ht="20.100000000000001" customHeight="1" x14ac:dyDescent="0.25">
      <c r="B18" s="44"/>
      <c r="C18" s="45"/>
      <c r="D18" s="46"/>
      <c r="E18" s="47"/>
      <c r="F18" s="45"/>
      <c r="G18" s="45"/>
      <c r="I18" s="42" t="s">
        <v>132</v>
      </c>
      <c r="J18" s="43"/>
      <c r="K18" s="40">
        <f>IFERROR(COUNTIF('base crono'!H:H,Painel!I18)/(COUNTA('base crono'!H:H)-1),0)</f>
        <v>0.22222222222222221</v>
      </c>
      <c r="L18" s="40"/>
      <c r="M18" s="40"/>
      <c r="N18" s="40"/>
      <c r="O18" s="41"/>
    </row>
    <row r="19" spans="2:15" ht="20.100000000000001" customHeight="1" x14ac:dyDescent="0.25">
      <c r="C19" s="8"/>
      <c r="D19" s="22"/>
      <c r="E19" s="23"/>
      <c r="F19" s="8"/>
      <c r="G19" s="8"/>
      <c r="I19" s="42" t="s">
        <v>133</v>
      </c>
      <c r="J19" s="43"/>
      <c r="K19" s="40">
        <f>IFERROR(COUNTIF('base crono'!H:H,Painel!I19)/(COUNTA('base crono'!H:H)-1),0)</f>
        <v>0.1111111111111111</v>
      </c>
      <c r="L19" s="40"/>
      <c r="M19" s="40"/>
      <c r="N19" s="40"/>
      <c r="O19" s="41"/>
    </row>
    <row r="20" spans="2:15" ht="20.100000000000001" customHeight="1" x14ac:dyDescent="0.25">
      <c r="C20" s="8"/>
      <c r="D20" s="22"/>
      <c r="E20" s="23"/>
      <c r="F20" s="8"/>
      <c r="G20" s="8"/>
      <c r="I20" s="42" t="s">
        <v>134</v>
      </c>
      <c r="J20" s="43"/>
      <c r="K20" s="40">
        <f>IFERROR(COUNTIF('base crono'!H:H,Painel!I20)/(COUNTA('base crono'!H:H)-1),0)</f>
        <v>0.66666666666666663</v>
      </c>
      <c r="L20" s="40"/>
      <c r="M20" s="40"/>
      <c r="N20" s="40"/>
      <c r="O20" s="41"/>
    </row>
    <row r="21" spans="2:15" ht="20.100000000000001" customHeight="1" x14ac:dyDescent="0.25">
      <c r="C21" s="8"/>
      <c r="D21" s="22"/>
      <c r="E21" s="23"/>
      <c r="F21" s="8"/>
      <c r="G21" s="8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44976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139</v>
      </c>
      <c r="H21" t="s">
        <v>132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139</v>
      </c>
      <c r="H22" t="s">
        <v>132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139</v>
      </c>
      <c r="H23" t="s">
        <v>132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139</v>
      </c>
      <c r="H24" t="s">
        <v>132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139</v>
      </c>
      <c r="H25" t="s">
        <v>132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136</v>
      </c>
      <c r="H26" t="s">
        <v>133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136</v>
      </c>
      <c r="H27" t="s">
        <v>133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136</v>
      </c>
      <c r="H28" t="s">
        <v>133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136</v>
      </c>
      <c r="H29" t="s">
        <v>133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136</v>
      </c>
      <c r="H30" t="s">
        <v>133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133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133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133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133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133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133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133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134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134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134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134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134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134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134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134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134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134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134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134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134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2023-02-24T16:59:10Z</dcterms:modified>
</cp:coreProperties>
</file>